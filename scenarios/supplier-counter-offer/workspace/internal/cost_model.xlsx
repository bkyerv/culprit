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4 Economic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E9"/>
  <sheetData>
    <row r="1">
      <c r="A1" t="inlineStr">
        <is>
          <t>Metric</t>
        </is>
      </c>
      <c r="B1" t="inlineStr">
        <is>
          <t>Atlas</t>
        </is>
      </c>
      <c r="C1" t="inlineStr">
        <is>
          <t>Beacon</t>
        </is>
      </c>
      <c r="D1" t="inlineStr">
        <is>
          <t>Unit</t>
        </is>
      </c>
      <c r="E1" t="inlineStr">
        <is>
          <t>Planning basis</t>
        </is>
      </c>
    </row>
    <row r="2">
      <c r="A2" t="inlineStr">
        <is>
          <t>Q4 order quantity</t>
        </is>
      </c>
      <c r="B2">
        <v>12000</v>
      </c>
      <c r="C2">
        <v>12000</v>
      </c>
      <c r="D2" t="inlineStr">
        <is>
          <t>units</t>
        </is>
      </c>
      <c r="E2" t="inlineStr">
        <is>
          <t>Demand plan</t>
        </is>
      </c>
    </row>
    <row r="3">
      <c r="A3" t="inlineStr">
        <is>
          <t>Net downstream unit revenue</t>
        </is>
      </c>
      <c r="B3">
        <v>36.00</v>
      </c>
      <c r="C3">
        <v>36.00</v>
      </c>
      <c r="D3" t="inlineStr">
        <is>
          <t>USD/unit</t>
        </is>
      </c>
      <c r="E3" t="inlineStr">
        <is>
          <t>Approved Q4 commercial plan</t>
        </is>
      </c>
    </row>
    <row r="4">
      <c r="A4" t="inlineStr">
        <is>
          <t>Minimum operating margin</t>
        </is>
      </c>
      <c r="B4">
        <v>0.275</v>
      </c>
      <c r="C4">
        <v>0.275</v>
      </c>
      <c r="D4" t="inlineStr">
        <is>
          <t>fraction (27.5%)</t>
        </is>
      </c>
      <c r="E4" t="inlineStr">
        <is>
          <t>Finance threshold</t>
        </is>
      </c>
    </row>
    <row r="5">
      <c r="A5" t="inlineStr">
        <is>
          <t>Non-component fulfillment cost</t>
        </is>
      </c>
      <c r="B5">
        <v>3.60</v>
      </c>
      <c r="C5">
        <v>3.60</v>
      </c>
      <c r="D5" t="inlineStr">
        <is>
          <t>USD/unit</t>
        </is>
      </c>
      <c r="E5" t="inlineStr">
        <is>
          <t>Handling, inspection, and downstream fulfillment</t>
        </is>
      </c>
    </row>
    <row r="6">
      <c r="A6" t="inlineStr">
        <is>
          <t>Maximum landed component cost</t>
        </is>
      </c>
      <c r="B6">
        <f>B3*(1-B4)-B5</f>
        <v>22.50</v>
      </c>
      <c r="C6">
        <f>C3*(1-C4)-C5</f>
        <v>22.50</v>
      </c>
      <c r="D6" t="inlineStr">
        <is>
          <t>USD/unit</t>
        </is>
      </c>
      <c r="E6" t="inlineStr">
        <is>
          <t>Revenue less required margin and non-component costs</t>
        </is>
      </c>
    </row>
    <row r="7">
      <c r="A7" t="inlineStr">
        <is>
          <t>Supplier-specific inbound logistics</t>
        </is>
      </c>
      <c r="B7">
        <v>0.40</v>
      </c>
      <c r="C7">
        <v>0.70</v>
      </c>
      <c r="D7" t="inlineStr">
        <is>
          <t>USD/unit</t>
        </is>
      </c>
      <c r="E7" t="inlineStr">
        <is>
          <t>Lane estimate from logistics planning</t>
        </is>
      </c>
    </row>
    <row r="8">
      <c r="A8" t="inlineStr">
        <is>
          <t>Recommended opening counter</t>
        </is>
      </c>
      <c r="B8">
        <f>B6-B7</f>
        <v>22.10</v>
      </c>
      <c r="C8">
        <f>C6-C7</f>
        <v>21.80</v>
      </c>
      <c r="D8" t="inlineStr">
        <is>
          <t>USD/unit</t>
        </is>
      </c>
      <c r="E8" t="inlineStr">
        <is>
          <t>Maximum landed component cost less inbound logistics</t>
        </is>
      </c>
    </row>
    <row r="9">
      <c r="A9" t="inlineStr">
        <is>
          <t>Approval ceiling</t>
        </is>
      </c>
      <c r="B9">
        <v>23.10</v>
      </c>
      <c r="C9">
        <v>22.80</v>
      </c>
      <c r="D9" t="inlineStr">
        <is>
          <t>USD/unit</t>
        </is>
      </c>
      <c r="E9" t="inlineStr">
        <is>
          <t>Escalate before agreeing above this invoice price</t>
        </is>
      </c>
    </row>
  </sheetData>
</worksheet>
</file>